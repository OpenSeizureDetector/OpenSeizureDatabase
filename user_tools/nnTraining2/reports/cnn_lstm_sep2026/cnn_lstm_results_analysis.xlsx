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<sst xmlns="http://schemas.openxmlformats.org/spreadsheetml/2006/main" count="45" uniqueCount="41">
  <si>
    <t xml:space="preserve">Augmentation Effects Analysis</t>
  </si>
  <si>
    <t xml:space="preserve">Location</t>
  </si>
  <si>
    <t xml:space="preserve">Description</t>
  </si>
  <si>
    <t xml:space="preserve">LSTM</t>
  </si>
  <si>
    <t xml:space="preserve">CNN</t>
  </si>
  <si>
    <t xml:space="preserve">Event TPR (50%)</t>
  </si>
  <si>
    <t xml:space="preserve">Event FPR (50%)</t>
  </si>
  <si>
    <t xml:space="preserve">Event Youden (50%)</t>
  </si>
  <si>
    <t xml:space="preserve">lstm_1d/1</t>
  </si>
  <si>
    <t xml:space="preserve">None (1)</t>
  </si>
  <si>
    <t xml:space="preserve">lstm_1d/2</t>
  </si>
  <si>
    <t xml:space="preserve">Noise (2)</t>
  </si>
  <si>
    <t xml:space="preserve">lstm_1d/3</t>
  </si>
  <si>
    <t xml:space="preserve">User (3)</t>
  </si>
  <si>
    <t xml:space="preserve">lstm_1d/4</t>
  </si>
  <si>
    <t xml:space="preserve">Oversample (OS) (4)</t>
  </si>
  <si>
    <t xml:space="preserve">lstm_1d/5</t>
  </si>
  <si>
    <t xml:space="preserve">Phase (5)</t>
  </si>
  <si>
    <t xml:space="preserve">lstm_1d/10</t>
  </si>
  <si>
    <t xml:space="preserve">Samplerate (SR) (10)</t>
  </si>
  <si>
    <t xml:space="preserve">lstm_1d/6</t>
  </si>
  <si>
    <t xml:space="preserve">Non-Seizure (NS) (6)</t>
  </si>
  <si>
    <t xml:space="preserve">lstm_1d/7</t>
  </si>
  <si>
    <t xml:space="preserve">Noise + User (7)</t>
  </si>
  <si>
    <t xml:space="preserve">lstm_1d/8</t>
  </si>
  <si>
    <t xml:space="preserve">Noise + User + OS (8)</t>
  </si>
  <si>
    <t xml:space="preserve">lstm_1d/9</t>
  </si>
  <si>
    <t xml:space="preserve">Noise + User + NS (9)</t>
  </si>
  <si>
    <t xml:space="preserve">lstm_1d/11</t>
  </si>
  <si>
    <t xml:space="preserve">n/a</t>
  </si>
  <si>
    <t xml:space="preserve">lstm_1d/14</t>
  </si>
  <si>
    <t xml:space="preserve">Noise + User + SR (14)</t>
  </si>
  <si>
    <t xml:space="preserve">lstm_1d/12</t>
  </si>
  <si>
    <t xml:space="preserve">Noise + User + OS + SR (12)</t>
  </si>
  <si>
    <t xml:space="preserve">lstm_1d/13</t>
  </si>
  <si>
    <t xml:space="preserve">Noise + User + OS + SR + NS (13)</t>
  </si>
  <si>
    <t xml:space="preserve">lstm_1d/15</t>
  </si>
  <si>
    <t xml:space="preserve">Noise + User + SR + 45sec (15)</t>
  </si>
  <si>
    <t xml:space="preserve">lstm_1d/16</t>
  </si>
  <si>
    <t xml:space="preserve">Noise + User + SR + 60sec (16)</t>
  </si>
  <si>
    <t xml:space="preserve">OSD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</si>
</sst>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GB" sz="1300" b="0" u="none" strike="noStrike">
                <a:uFillTx/>
                <a:latin typeface="Arial"/>
              </a:defRPr>
            </a:pPr>
            <a:r>
              <a:rPr lang="en-GB"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Effect of Data Augmentation on ML Seizure Detection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LSTM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n-GB"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Sheet1!$B$5:$B$21</c:f>
              <c:strCache>
                <c:ptCount val="13"/>
                <c:pt idx="0">
                  <c:v>None (1)</c:v>
                </c:pt>
                <c:pt idx="1">
                  <c:v>Noise (2)</c:v>
                </c:pt>
                <c:pt idx="2">
                  <c:v>User (3)</c:v>
                </c:pt>
                <c:pt idx="3">
                  <c:v>Oversample (OS) (4)</c:v>
                </c:pt>
                <c:pt idx="4">
                  <c:v>Phase (5)</c:v>
                </c:pt>
                <c:pt idx="5">
                  <c:v>Samplerate (SR) (10)</c:v>
                </c:pt>
                <c:pt idx="6">
                  <c:v>Non-Seizure (NS) (6)</c:v>
                </c:pt>
                <c:pt idx="7">
                  <c:v>Noise + User (7)</c:v>
                </c:pt>
                <c:pt idx="8">
                  <c:v>Noise + User + NS (9)</c:v>
                </c:pt>
                <c:pt idx="9">
                  <c:v>Noise + User + SR (14)</c:v>
                </c:pt>
                <c:pt idx="10">
                  <c:v>Noise + User + SR + 45sec (15)</c:v>
                </c:pt>
                <c:pt idx="11">
                  <c:v>Noise + User + SR + 60sec (16)</c:v>
                </c:pt>
                <c:pt idx="12">
                  <c:v>OSD</c:v>
                </c:pt>
              </c:strCache>
            </c:strRef>
          </c:cat>
          <c:val>
            <c:numRef>
              <c:f>Sheet1!$E$5:$E$21</c:f>
              <c:numCache>
                <c:formatCode>General</c:formatCode>
                <c:ptCount val="13"/>
                <c:pt idx="0">
                  <c:v>0.31</c:v>
                </c:pt>
                <c:pt idx="1">
                  <c:v>0.49</c:v>
                </c:pt>
                <c:pt idx="2">
                  <c:v>0.32</c:v>
                </c:pt>
                <c:pt idx="3">
                  <c:v>0.27</c:v>
                </c:pt>
                <c:pt idx="4">
                  <c:v>0.27</c:v>
                </c:pt>
                <c:pt idx="5">
                  <c:v>0.4</c:v>
                </c:pt>
                <c:pt idx="6">
                  <c:v>0.27</c:v>
                </c:pt>
                <c:pt idx="7">
                  <c:v>0.51</c:v>
                </c:pt>
                <c:pt idx="8">
                  <c:v>0.49</c:v>
                </c:pt>
                <c:pt idx="9">
                  <c:v>0.53</c:v>
                </c:pt>
                <c:pt idx="10">
                  <c:v>0.63</c:v>
                </c:pt>
                <c:pt idx="11">
                  <c:v>0.44</c:v>
                </c:pt>
                <c:pt idx="12">
                  <c:v>0.46</c:v>
                </c:pt>
              </c:numCache>
            </c:numRef>
          </c:val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n-GB"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Sheet1!$B$5:$B$21</c:f>
              <c:strCache>
                <c:ptCount val="13"/>
                <c:pt idx="0">
                  <c:v>None (1)</c:v>
                </c:pt>
                <c:pt idx="1">
                  <c:v>Noise (2)</c:v>
                </c:pt>
                <c:pt idx="2">
                  <c:v>User (3)</c:v>
                </c:pt>
                <c:pt idx="3">
                  <c:v>Oversample (OS) (4)</c:v>
                </c:pt>
                <c:pt idx="4">
                  <c:v>Phase (5)</c:v>
                </c:pt>
                <c:pt idx="5">
                  <c:v>Samplerate (SR) (10)</c:v>
                </c:pt>
                <c:pt idx="6">
                  <c:v>Non-Seizure (NS) (6)</c:v>
                </c:pt>
                <c:pt idx="7">
                  <c:v>Noise + User (7)</c:v>
                </c:pt>
                <c:pt idx="8">
                  <c:v>Noise + User + NS (9)</c:v>
                </c:pt>
                <c:pt idx="9">
                  <c:v>Noise + User + SR (14)</c:v>
                </c:pt>
                <c:pt idx="10">
                  <c:v>Noise + User + SR + 45sec (15)</c:v>
                </c:pt>
                <c:pt idx="11">
                  <c:v>Noise + User + SR + 60sec (16)</c:v>
                </c:pt>
                <c:pt idx="12">
                  <c:v>OSD</c:v>
                </c:pt>
              </c:strCache>
            </c:strRef>
          </c:cat>
          <c:val>
            <c:numRef>
              <c:f>Sheet1!$H$5:$H$21</c:f>
              <c:numCache>
                <c:formatCode>General</c:formatCode>
                <c:ptCount val="13"/>
                <c:pt idx="0">
                  <c:v>0.28</c:v>
                </c:pt>
                <c:pt idx="1">
                  <c:v>0.49</c:v>
                </c:pt>
                <c:pt idx="2">
                  <c:v>0.31</c:v>
                </c:pt>
                <c:pt idx="3">
                  <c:v>0.24</c:v>
                </c:pt>
                <c:pt idx="4">
                  <c:v>0.28</c:v>
                </c:pt>
                <c:pt idx="5">
                  <c:v>0.4</c:v>
                </c:pt>
                <c:pt idx="6">
                  <c:v>0.23</c:v>
                </c:pt>
                <c:pt idx="7">
                  <c:v>0.49</c:v>
                </c:pt>
                <c:pt idx="8">
                  <c:v>0.48</c:v>
                </c:pt>
                <c:pt idx="9">
                  <c:v>0.62</c:v>
                </c:pt>
                <c:pt idx="10">
                  <c:v>0.61</c:v>
                </c:pt>
                <c:pt idx="12">
                  <c:v>0.46</c:v>
                </c:pt>
              </c:numCache>
            </c:numRef>
          </c:val>
        </c:ser>
        <c:gapWidth val="100"/>
        <c:overlap val="0"/>
        <c:axId val="96179303"/>
        <c:axId val="31763613"/>
      </c:barChart>
      <c:catAx>
        <c:axId val="961793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1763613"/>
        <c:crosses val="autoZero"/>
        <c:auto val="1"/>
        <c:lblAlgn val="ctr"/>
        <c:lblOffset val="100"/>
        <c:noMultiLvlLbl val="0"/>
      </c:catAx>
      <c:valAx>
        <c:axId val="317636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300" b="0" u="none" strike="noStrike">
                    <a:uFillTx/>
                    <a:latin typeface="Arial"/>
                  </a:defRPr>
                </a:pPr>
                <a:r>
                  <a:rPr lang="en-GB"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Youden Parameter (TPR-FPR)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lang="en-GB"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617930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GB"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702360</xdr:colOff>
      <xdr:row>22</xdr:row>
      <xdr:rowOff>114840</xdr:rowOff>
    </xdr:from>
    <xdr:to>
      <xdr:col>7</xdr:col>
      <xdr:colOff>136800</xdr:colOff>
      <xdr:row>46</xdr:row>
      <xdr:rowOff>5040</xdr:rowOff>
    </xdr:to>
    <xdr:graphicFrame>
      <xdr:nvGraphicFramePr>
        <xdr:cNvPr id="1" name=""/>
        <xdr:cNvGraphicFramePr/>
      </xdr:nvGraphicFramePr>
      <xdr:xfrm>
        <a:off x="1515240" y="3323520"/>
        <a:ext cx="5753160" cy="3791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1.99"/>
  </cols>
  <sheetData>
    <row r="1" customFormat="false" ht="12.8" hidden="false" customHeight="false" outlineLevel="0" collapsed="false">
      <c r="A1" s="2" t="s">
        <v>0</v>
      </c>
    </row>
    <row r="3" customFormat="false" ht="12.8" hidden="false" customHeight="false" outlineLevel="0" collapsed="false">
      <c r="A3" s="3" t="s">
        <v>1</v>
      </c>
      <c r="B3" s="3" t="s">
        <v>2</v>
      </c>
      <c r="C3" s="3" t="s">
        <v>3</v>
      </c>
      <c r="D3" s="3"/>
      <c r="E3" s="3"/>
      <c r="F3" s="3" t="s">
        <v>4</v>
      </c>
      <c r="G3" s="3"/>
      <c r="H3" s="3"/>
    </row>
    <row r="4" s="5" customFormat="true" ht="35.05" hidden="false" customHeight="false" outlineLevel="0" collapsed="false">
      <c r="A4" s="3"/>
      <c r="B4" s="3"/>
      <c r="C4" s="4" t="s">
        <v>5</v>
      </c>
      <c r="D4" s="4" t="s">
        <v>6</v>
      </c>
      <c r="E4" s="4" t="s">
        <v>7</v>
      </c>
      <c r="F4" s="4" t="s">
        <v>5</v>
      </c>
      <c r="G4" s="4" t="s">
        <v>6</v>
      </c>
      <c r="H4" s="4" t="s">
        <v>7</v>
      </c>
    </row>
    <row r="5" customFormat="false" ht="12.8" hidden="false" customHeight="false" outlineLevel="0" collapsed="false">
      <c r="A5" s="6" t="s">
        <v>8</v>
      </c>
      <c r="B5" s="6" t="s">
        <v>9</v>
      </c>
      <c r="C5" s="6" t="n">
        <v>0.98</v>
      </c>
      <c r="D5" s="6" t="n">
        <v>0.67</v>
      </c>
      <c r="E5" s="6" t="n">
        <f aca="false">C5-D5</f>
        <v>0.31</v>
      </c>
      <c r="F5" s="6" t="n">
        <v>0.98</v>
      </c>
      <c r="G5" s="6" t="n">
        <v>0.7</v>
      </c>
      <c r="H5" s="6" t="n">
        <f aca="false">F5-G5</f>
        <v>0.28</v>
      </c>
    </row>
    <row r="6" customFormat="false" ht="12.8" hidden="false" customHeight="false" outlineLevel="0" collapsed="false">
      <c r="A6" s="6" t="s">
        <v>10</v>
      </c>
      <c r="B6" s="6" t="s">
        <v>11</v>
      </c>
      <c r="C6" s="6" t="n">
        <v>0.94</v>
      </c>
      <c r="D6" s="6" t="n">
        <v>0.45</v>
      </c>
      <c r="E6" s="6" t="n">
        <f aca="false">C6-D6</f>
        <v>0.49</v>
      </c>
      <c r="F6" s="6" t="n">
        <v>0.94</v>
      </c>
      <c r="G6" s="6" t="n">
        <v>0.45</v>
      </c>
      <c r="H6" s="6" t="n">
        <f aca="false">F6-G6</f>
        <v>0.49</v>
      </c>
    </row>
    <row r="7" customFormat="false" ht="12.8" hidden="false" customHeight="false" outlineLevel="0" collapsed="false">
      <c r="A7" s="6" t="s">
        <v>12</v>
      </c>
      <c r="B7" s="6" t="s">
        <v>13</v>
      </c>
      <c r="C7" s="6" t="n">
        <v>0.97</v>
      </c>
      <c r="D7" s="6" t="n">
        <v>0.65</v>
      </c>
      <c r="E7" s="6" t="n">
        <f aca="false">C7-D7</f>
        <v>0.32</v>
      </c>
      <c r="F7" s="6" t="n">
        <v>0.98</v>
      </c>
      <c r="G7" s="6" t="n">
        <v>0.67</v>
      </c>
      <c r="H7" s="6" t="n">
        <f aca="false">F7-G7</f>
        <v>0.31</v>
      </c>
    </row>
    <row r="8" customFormat="false" ht="12.8" hidden="false" customHeight="false" outlineLevel="0" collapsed="false">
      <c r="A8" s="6" t="s">
        <v>14</v>
      </c>
      <c r="B8" s="6" t="s">
        <v>15</v>
      </c>
      <c r="C8" s="6" t="n">
        <v>0.97</v>
      </c>
      <c r="D8" s="6" t="n">
        <v>0.7</v>
      </c>
      <c r="E8" s="6" t="n">
        <f aca="false">C8-D8</f>
        <v>0.27</v>
      </c>
      <c r="F8" s="6" t="n">
        <v>0.99</v>
      </c>
      <c r="G8" s="6" t="n">
        <v>0.75</v>
      </c>
      <c r="H8" s="6" t="n">
        <f aca="false">F8-G8</f>
        <v>0.24</v>
      </c>
    </row>
    <row r="9" customFormat="false" ht="12.8" hidden="false" customHeight="false" outlineLevel="0" collapsed="false">
      <c r="A9" s="6" t="s">
        <v>16</v>
      </c>
      <c r="B9" s="6" t="s">
        <v>17</v>
      </c>
      <c r="C9" s="6" t="n">
        <v>0.98</v>
      </c>
      <c r="D9" s="6" t="n">
        <v>0.71</v>
      </c>
      <c r="E9" s="6" t="n">
        <f aca="false">C9-D9</f>
        <v>0.27</v>
      </c>
      <c r="F9" s="6" t="n">
        <v>0.98</v>
      </c>
      <c r="G9" s="6" t="n">
        <v>0.7</v>
      </c>
      <c r="H9" s="6" t="n">
        <f aca="false">F9-G9</f>
        <v>0.28</v>
      </c>
    </row>
    <row r="10" customFormat="false" ht="12.8" hidden="false" customHeight="false" outlineLevel="0" collapsed="false">
      <c r="A10" s="6" t="s">
        <v>18</v>
      </c>
      <c r="B10" s="6" t="s">
        <v>19</v>
      </c>
      <c r="C10" s="6" t="n">
        <v>0.97</v>
      </c>
      <c r="D10" s="6" t="n">
        <v>0.57</v>
      </c>
      <c r="E10" s="6" t="n">
        <f aca="false">C10-D10</f>
        <v>0.4</v>
      </c>
      <c r="F10" s="6" t="n">
        <v>0.97</v>
      </c>
      <c r="G10" s="6" t="n">
        <v>0.57</v>
      </c>
      <c r="H10" s="6" t="n">
        <f aca="false">F10-G10</f>
        <v>0.4</v>
      </c>
    </row>
    <row r="11" customFormat="false" ht="12.8" hidden="false" customHeight="false" outlineLevel="0" collapsed="false">
      <c r="A11" s="6" t="s">
        <v>20</v>
      </c>
      <c r="B11" s="6" t="s">
        <v>21</v>
      </c>
      <c r="C11" s="6" t="n">
        <v>0.98</v>
      </c>
      <c r="D11" s="6" t="n">
        <v>0.71</v>
      </c>
      <c r="E11" s="6" t="n">
        <f aca="false">C11-D11</f>
        <v>0.27</v>
      </c>
      <c r="F11" s="6" t="n">
        <v>1</v>
      </c>
      <c r="G11" s="6" t="n">
        <v>0.77</v>
      </c>
      <c r="H11" s="6" t="n">
        <f aca="false">F11-G11</f>
        <v>0.23</v>
      </c>
    </row>
    <row r="12" customFormat="false" ht="12.8" hidden="false" customHeight="false" outlineLevel="0" collapsed="false">
      <c r="A12" s="6" t="s">
        <v>22</v>
      </c>
      <c r="B12" s="6" t="s">
        <v>23</v>
      </c>
      <c r="C12" s="6" t="n">
        <v>0.95</v>
      </c>
      <c r="D12" s="6" t="n">
        <v>0.44</v>
      </c>
      <c r="E12" s="6" t="n">
        <f aca="false">C12-D12</f>
        <v>0.51</v>
      </c>
      <c r="F12" s="6" t="n">
        <v>0.95</v>
      </c>
      <c r="G12" s="6" t="n">
        <v>0.46</v>
      </c>
      <c r="H12" s="6" t="n">
        <f aca="false">F12-G12</f>
        <v>0.49</v>
      </c>
    </row>
    <row r="13" customFormat="false" ht="12.8" hidden="true" customHeight="false" outlineLevel="0" collapsed="false">
      <c r="A13" s="6" t="s">
        <v>24</v>
      </c>
      <c r="B13" s="6" t="s">
        <v>25</v>
      </c>
      <c r="C13" s="6" t="n">
        <v>0.91</v>
      </c>
      <c r="D13" s="6" t="n">
        <v>0.38</v>
      </c>
      <c r="E13" s="6" t="n">
        <f aca="false">C13-D13</f>
        <v>0.53</v>
      </c>
      <c r="F13" s="6" t="n">
        <v>0.96</v>
      </c>
      <c r="G13" s="6" t="n">
        <v>0.43</v>
      </c>
      <c r="H13" s="6" t="n">
        <f aca="false">F13-G13</f>
        <v>0.53</v>
      </c>
    </row>
    <row r="14" customFormat="false" ht="12.8" hidden="false" customHeight="false" outlineLevel="0" collapsed="false">
      <c r="A14" s="6" t="s">
        <v>26</v>
      </c>
      <c r="B14" s="6" t="s">
        <v>27</v>
      </c>
      <c r="C14" s="6" t="n">
        <v>0.96</v>
      </c>
      <c r="D14" s="6" t="n">
        <v>0.47</v>
      </c>
      <c r="E14" s="6" t="n">
        <f aca="false">C14-D14</f>
        <v>0.49</v>
      </c>
      <c r="F14" s="6" t="n">
        <v>0.95</v>
      </c>
      <c r="G14" s="6" t="n">
        <v>0.47</v>
      </c>
      <c r="H14" s="6" t="n">
        <f aca="false">F14-G14</f>
        <v>0.48</v>
      </c>
    </row>
    <row r="15" customFormat="false" ht="12.8" hidden="true" customHeight="false" outlineLevel="0" collapsed="false">
      <c r="A15" s="6" t="s">
        <v>28</v>
      </c>
      <c r="B15" s="6" t="s">
        <v>29</v>
      </c>
      <c r="C15" s="6"/>
      <c r="D15" s="6"/>
      <c r="E15" s="6" t="n">
        <f aca="false">C15-D15</f>
        <v>0</v>
      </c>
      <c r="F15" s="6"/>
      <c r="G15" s="6"/>
      <c r="H15" s="6" t="n">
        <f aca="false">F15-G15</f>
        <v>0</v>
      </c>
    </row>
    <row r="16" customFormat="false" ht="12.8" hidden="false" customHeight="false" outlineLevel="0" collapsed="false">
      <c r="A16" s="6" t="s">
        <v>30</v>
      </c>
      <c r="B16" s="6" t="s">
        <v>31</v>
      </c>
      <c r="C16" s="6" t="n">
        <v>0.92</v>
      </c>
      <c r="D16" s="6" t="n">
        <v>0.39</v>
      </c>
      <c r="E16" s="6" t="n">
        <f aca="false">C16-D16</f>
        <v>0.53</v>
      </c>
      <c r="F16" s="6" t="n">
        <v>0.85</v>
      </c>
      <c r="G16" s="6" t="n">
        <v>0.23</v>
      </c>
      <c r="H16" s="6" t="n">
        <f aca="false">F16-G16</f>
        <v>0.62</v>
      </c>
    </row>
    <row r="17" customFormat="false" ht="12.8" hidden="true" customHeight="false" outlineLevel="0" collapsed="false">
      <c r="A17" s="6" t="s">
        <v>32</v>
      </c>
      <c r="B17" s="6" t="s">
        <v>33</v>
      </c>
      <c r="C17" s="6" t="n">
        <v>0.88</v>
      </c>
      <c r="D17" s="6" t="n">
        <v>0.31</v>
      </c>
      <c r="E17" s="6" t="n">
        <f aca="false">C17-D17</f>
        <v>0.57</v>
      </c>
      <c r="F17" s="6" t="n">
        <v>0.88</v>
      </c>
      <c r="G17" s="6" t="n">
        <v>0.23</v>
      </c>
      <c r="H17" s="6" t="n">
        <f aca="false">F17-G17</f>
        <v>0.65</v>
      </c>
    </row>
    <row r="18" customFormat="false" ht="12.8" hidden="true" customHeight="false" outlineLevel="0" collapsed="false">
      <c r="A18" s="6" t="s">
        <v>34</v>
      </c>
      <c r="B18" s="6" t="s">
        <v>35</v>
      </c>
      <c r="C18" s="6" t="n">
        <v>0.89</v>
      </c>
      <c r="D18" s="6" t="n">
        <v>0.34</v>
      </c>
      <c r="E18" s="6" t="n">
        <f aca="false">C18-D18</f>
        <v>0.55</v>
      </c>
      <c r="F18" s="6" t="n">
        <v>0.84</v>
      </c>
      <c r="G18" s="6" t="n">
        <v>0.2</v>
      </c>
      <c r="H18" s="6" t="n">
        <f aca="false">F18-G18</f>
        <v>0.64</v>
      </c>
    </row>
    <row r="19" customFormat="false" ht="12.8" hidden="false" customHeight="false" outlineLevel="0" collapsed="false">
      <c r="A19" s="6" t="s">
        <v>36</v>
      </c>
      <c r="B19" s="6" t="s">
        <v>37</v>
      </c>
      <c r="C19" s="6" t="n">
        <v>0.88</v>
      </c>
      <c r="D19" s="6" t="n">
        <v>0.25</v>
      </c>
      <c r="E19" s="6" t="n">
        <f aca="false">C19-D19</f>
        <v>0.63</v>
      </c>
      <c r="F19" s="6" t="n">
        <v>0.85</v>
      </c>
      <c r="G19" s="6" t="n">
        <v>0.24</v>
      </c>
      <c r="H19" s="6" t="n">
        <f aca="false">F19-G19</f>
        <v>0.61</v>
      </c>
    </row>
    <row r="20" customFormat="false" ht="12.8" hidden="false" customHeight="false" outlineLevel="0" collapsed="false">
      <c r="A20" s="6" t="s">
        <v>38</v>
      </c>
      <c r="B20" s="6" t="s">
        <v>39</v>
      </c>
      <c r="C20" s="6" t="n">
        <v>0.94</v>
      </c>
      <c r="D20" s="6" t="n">
        <v>0.5</v>
      </c>
      <c r="E20" s="6" t="n">
        <f aca="false">C20-D20</f>
        <v>0.44</v>
      </c>
      <c r="F20" s="6"/>
      <c r="G20" s="6"/>
      <c r="H20" s="6"/>
    </row>
    <row r="21" customFormat="false" ht="12.8" hidden="false" customHeight="false" outlineLevel="0" collapsed="false">
      <c r="A21" s="7" t="s">
        <v>40</v>
      </c>
      <c r="B21" s="7" t="s">
        <v>40</v>
      </c>
      <c r="C21" s="7" t="n">
        <v>0.67</v>
      </c>
      <c r="D21" s="7" t="n">
        <v>0.21</v>
      </c>
      <c r="E21" s="7" t="n">
        <f aca="false">C21-D21</f>
        <v>0.46</v>
      </c>
      <c r="F21" s="7" t="n">
        <v>0.67</v>
      </c>
      <c r="G21" s="7" t="n">
        <v>0.21</v>
      </c>
      <c r="H21" s="7" t="n">
        <f aca="false">F21-G21</f>
        <v>0.46</v>
      </c>
    </row>
  </sheetData>
  <mergeCells count="4">
    <mergeCell ref="A3:A4"/>
    <mergeCell ref="B3:B4"/>
    <mergeCell ref="C3:E3"/>
    <mergeCell ref="F3:H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2026-09-17T14:10:24Z</dcterms:created>
  <dc:creator/>
  <dc:description/>
  <dc:language>en-GB</dc:language>
  <cp:lastModifiedBy/>
  <dcterms:modified xsi:type="dcterms:W3CDTF">2026-09-24T19:49:30Z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